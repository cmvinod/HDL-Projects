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D:\Vinu\New_Beginning\LUCID_VLSI\HW\2\"/>
    </mc:Choice>
  </mc:AlternateContent>
  <xr:revisionPtr revIDLastSave="0" documentId="13_ncr:1_{7E59F822-1FE7-4C04-BC33-2D668A9A801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ul8Analysis" sheetId="1" r:id="rId1"/>
    <sheet name="instantiation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8" i="2" l="1"/>
  <c r="AF8" i="2" s="1"/>
  <c r="AF16" i="2"/>
  <c r="AF12" i="2"/>
  <c r="AF11" i="2"/>
  <c r="AF20" i="2"/>
  <c r="AF4" i="2"/>
  <c r="AF19" i="2"/>
  <c r="AF17" i="2"/>
  <c r="AF15" i="2"/>
  <c r="AF14" i="2"/>
  <c r="AF13" i="2"/>
  <c r="AF10" i="2"/>
  <c r="AF9" i="2"/>
  <c r="AF7" i="2"/>
  <c r="AF18" i="2"/>
  <c r="AF6" i="2"/>
  <c r="AF5" i="2"/>
  <c r="V19" i="2" a="1"/>
  <c r="V19" i="2" s="1"/>
  <c r="V18" i="2" a="1"/>
  <c r="V18" i="2" s="1"/>
  <c r="V17" i="2" a="1"/>
  <c r="V17" i="2"/>
  <c r="W17" i="2"/>
  <c r="X17" i="2"/>
  <c r="Y17" i="2"/>
  <c r="Z17" i="2"/>
  <c r="V16" i="2" a="1"/>
  <c r="V16" i="2" s="1"/>
  <c r="V15" i="2" a="1"/>
  <c r="V15" i="2" s="1"/>
  <c r="V14" i="2" a="1"/>
  <c r="V14" i="2" s="1"/>
  <c r="V13" i="2" a="1"/>
  <c r="V13" i="2" s="1"/>
  <c r="V12" i="2" a="1"/>
  <c r="V12" i="2" s="1"/>
  <c r="V11" i="2" a="1"/>
  <c r="V11" i="2" s="1"/>
  <c r="V10" i="2" a="1"/>
  <c r="V10" i="2" s="1"/>
  <c r="V9" i="2" a="1"/>
  <c r="V9" i="2"/>
  <c r="W9" i="2"/>
  <c r="X9" i="2"/>
  <c r="Y9" i="2"/>
  <c r="Z9" i="2"/>
  <c r="AA9" i="2"/>
  <c r="AB9" i="2"/>
  <c r="AC9" i="2"/>
  <c r="V8" i="2" a="1"/>
  <c r="V8" i="2" s="1"/>
  <c r="V7" i="2" a="1"/>
  <c r="V7" i="2" s="1"/>
  <c r="W7" i="2"/>
  <c r="X7" i="2"/>
  <c r="Y7" i="2"/>
  <c r="Z7" i="2"/>
  <c r="V6" i="2" a="1"/>
  <c r="V6" i="2" s="1"/>
  <c r="V5" i="2" a="1"/>
  <c r="V5" i="2" s="1"/>
  <c r="V4" i="2"/>
  <c r="T7" i="2"/>
  <c r="U15" i="2"/>
  <c r="U16" i="2"/>
  <c r="U17" i="2"/>
  <c r="U18" i="2"/>
  <c r="U19" i="2"/>
  <c r="U20" i="2"/>
  <c r="U14" i="2"/>
  <c r="U5" i="2"/>
  <c r="U6" i="2"/>
  <c r="U7" i="2"/>
  <c r="U8" i="2"/>
  <c r="U9" i="2"/>
  <c r="U10" i="2"/>
  <c r="U11" i="2"/>
  <c r="U12" i="2"/>
  <c r="U13" i="2"/>
  <c r="U4" i="2"/>
  <c r="Q3" i="2"/>
  <c r="P3" i="2"/>
  <c r="O3" i="2"/>
  <c r="N3" i="2"/>
  <c r="M3" i="2"/>
  <c r="L3" i="2"/>
  <c r="K3" i="2"/>
  <c r="J3" i="2"/>
  <c r="I3" i="2"/>
  <c r="H3" i="2"/>
  <c r="G3" i="2"/>
  <c r="F3" i="2"/>
  <c r="E3" i="2"/>
  <c r="D3" i="2"/>
  <c r="C3" i="2"/>
  <c r="B3" i="2"/>
  <c r="A3" i="2"/>
  <c r="E15" i="1"/>
  <c r="AJ18" i="1"/>
  <c r="AL18" i="1" s="1"/>
  <c r="AJ19" i="1"/>
  <c r="AL19" i="1" s="1"/>
  <c r="AJ20" i="1"/>
  <c r="AL20" i="1" s="1"/>
  <c r="AJ21" i="1"/>
  <c r="AL21" i="1" s="1"/>
  <c r="AJ22" i="1"/>
  <c r="AL22" i="1" s="1"/>
  <c r="AJ23" i="1"/>
  <c r="AL23" i="1" s="1"/>
  <c r="AJ17" i="1"/>
  <c r="AL17" i="1" s="1"/>
  <c r="L17" i="1"/>
  <c r="M17" i="1"/>
  <c r="N17" i="1"/>
  <c r="O17" i="1"/>
  <c r="P17" i="1"/>
  <c r="Q17" i="1"/>
  <c r="R17" i="1"/>
  <c r="S17" i="1"/>
  <c r="M16" i="1"/>
  <c r="N16" i="1"/>
  <c r="O16" i="1"/>
  <c r="P16" i="1"/>
  <c r="Q16" i="1"/>
  <c r="R16" i="1"/>
  <c r="S16" i="1"/>
  <c r="T16" i="1"/>
  <c r="T15" i="1" s="1"/>
  <c r="F13" i="1"/>
  <c r="F23" i="1" s="1"/>
  <c r="F15" i="1" s="1"/>
  <c r="G13" i="1"/>
  <c r="G23" i="1" s="1"/>
  <c r="H13" i="1"/>
  <c r="H23" i="1" s="1"/>
  <c r="I13" i="1"/>
  <c r="I23" i="1" s="1"/>
  <c r="J13" i="1"/>
  <c r="J23" i="1" s="1"/>
  <c r="K13" i="1"/>
  <c r="K23" i="1" s="1"/>
  <c r="L13" i="1"/>
  <c r="L23" i="1" s="1"/>
  <c r="M13" i="1"/>
  <c r="M23" i="1" s="1"/>
  <c r="G12" i="1"/>
  <c r="G22" i="1" s="1"/>
  <c r="H12" i="1"/>
  <c r="H22" i="1" s="1"/>
  <c r="I12" i="1"/>
  <c r="I22" i="1" s="1"/>
  <c r="J12" i="1"/>
  <c r="J22" i="1" s="1"/>
  <c r="K12" i="1"/>
  <c r="K22" i="1" s="1"/>
  <c r="L12" i="1"/>
  <c r="L22" i="1" s="1"/>
  <c r="M12" i="1"/>
  <c r="M22" i="1" s="1"/>
  <c r="N12" i="1"/>
  <c r="N22" i="1" s="1"/>
  <c r="H11" i="1"/>
  <c r="H21" i="1" s="1"/>
  <c r="I11" i="1"/>
  <c r="I21" i="1" s="1"/>
  <c r="J11" i="1"/>
  <c r="J21" i="1" s="1"/>
  <c r="K11" i="1"/>
  <c r="K21" i="1" s="1"/>
  <c r="L11" i="1"/>
  <c r="L21" i="1" s="1"/>
  <c r="M11" i="1"/>
  <c r="M21" i="1" s="1"/>
  <c r="N11" i="1"/>
  <c r="N21" i="1" s="1"/>
  <c r="O11" i="1"/>
  <c r="O21" i="1" s="1"/>
  <c r="I10" i="1"/>
  <c r="I20" i="1" s="1"/>
  <c r="J10" i="1"/>
  <c r="J20" i="1" s="1"/>
  <c r="K10" i="1"/>
  <c r="K20" i="1" s="1"/>
  <c r="L10" i="1"/>
  <c r="L20" i="1" s="1"/>
  <c r="M10" i="1"/>
  <c r="M20" i="1" s="1"/>
  <c r="N10" i="1"/>
  <c r="N20" i="1" s="1"/>
  <c r="O10" i="1"/>
  <c r="O20" i="1" s="1"/>
  <c r="P10" i="1"/>
  <c r="P20" i="1" s="1"/>
  <c r="J9" i="1"/>
  <c r="J19" i="1" s="1"/>
  <c r="K9" i="1"/>
  <c r="K19" i="1" s="1"/>
  <c r="L9" i="1"/>
  <c r="L19" i="1" s="1"/>
  <c r="M9" i="1"/>
  <c r="M19" i="1" s="1"/>
  <c r="N9" i="1"/>
  <c r="N19" i="1" s="1"/>
  <c r="O9" i="1"/>
  <c r="O19" i="1" s="1"/>
  <c r="P9" i="1"/>
  <c r="P19" i="1" s="1"/>
  <c r="Q9" i="1"/>
  <c r="Q19" i="1" s="1"/>
  <c r="R8" i="1"/>
  <c r="R18" i="1" s="1"/>
  <c r="K8" i="1"/>
  <c r="K18" i="1" s="1"/>
  <c r="L8" i="1"/>
  <c r="L18" i="1" s="1"/>
  <c r="M8" i="1"/>
  <c r="M18" i="1" s="1"/>
  <c r="N8" i="1"/>
  <c r="N18" i="1" s="1"/>
  <c r="O8" i="1"/>
  <c r="O18" i="1" s="1"/>
  <c r="P8" i="1"/>
  <c r="P18" i="1" s="1"/>
  <c r="Q8" i="1"/>
  <c r="Q18" i="1" s="1"/>
  <c r="W19" i="2" l="1"/>
  <c r="X18" i="2"/>
  <c r="W18" i="2"/>
  <c r="X16" i="2"/>
  <c r="AA16" i="2"/>
  <c r="W16" i="2"/>
  <c r="Y16" i="2"/>
  <c r="Z16" i="2"/>
  <c r="Y15" i="2"/>
  <c r="AB15" i="2"/>
  <c r="X15" i="2"/>
  <c r="AA15" i="2"/>
  <c r="W15" i="2"/>
  <c r="Z15" i="2"/>
  <c r="AC14" i="2"/>
  <c r="Y14" i="2"/>
  <c r="AB14" i="2"/>
  <c r="X14" i="2"/>
  <c r="AA14" i="2"/>
  <c r="W14" i="2"/>
  <c r="Z14" i="2"/>
  <c r="AC13" i="2"/>
  <c r="AB13" i="2"/>
  <c r="X13" i="2"/>
  <c r="AA13" i="2"/>
  <c r="W13" i="2"/>
  <c r="Y13" i="2"/>
  <c r="AD13" i="2"/>
  <c r="Z13" i="2"/>
  <c r="Y12" i="2"/>
  <c r="AB12" i="2"/>
  <c r="X12" i="2"/>
  <c r="AE12" i="2"/>
  <c r="AA12" i="2"/>
  <c r="W12" i="2"/>
  <c r="AC12" i="2"/>
  <c r="AD12" i="2"/>
  <c r="Z12" i="2"/>
  <c r="AC11" i="2"/>
  <c r="Y11" i="2"/>
  <c r="AB11" i="2"/>
  <c r="X11" i="2"/>
  <c r="AE11" i="2"/>
  <c r="AA11" i="2"/>
  <c r="W11" i="2"/>
  <c r="AD11" i="2"/>
  <c r="Z11" i="2"/>
  <c r="AC10" i="2"/>
  <c r="Y10" i="2"/>
  <c r="AB10" i="2"/>
  <c r="X10" i="2"/>
  <c r="AA10" i="2"/>
  <c r="W10" i="2"/>
  <c r="AD10" i="2"/>
  <c r="Z10" i="2"/>
  <c r="X8" i="2"/>
  <c r="AA8" i="2"/>
  <c r="W8" i="2"/>
  <c r="Y8" i="2"/>
  <c r="AB8" i="2"/>
  <c r="Z8" i="2"/>
  <c r="Y6" i="2"/>
  <c r="X6" i="2"/>
  <c r="W6" i="2"/>
  <c r="W5" i="2"/>
  <c r="K15" i="1"/>
  <c r="R15" i="1"/>
  <c r="N15" i="1"/>
  <c r="J15" i="1"/>
  <c r="I15" i="1"/>
  <c r="H15" i="1"/>
  <c r="G15" i="1"/>
  <c r="Q15" i="1"/>
  <c r="M15" i="1"/>
  <c r="P15" i="1"/>
  <c r="L15" i="1"/>
  <c r="S15" i="1"/>
  <c r="O15" i="1"/>
</calcChain>
</file>

<file path=xl/sharedStrings.xml><?xml version="1.0" encoding="utf-8"?>
<sst xmlns="http://schemas.openxmlformats.org/spreadsheetml/2006/main" count="291" uniqueCount="193">
  <si>
    <t>a7</t>
  </si>
  <si>
    <t>a6</t>
  </si>
  <si>
    <t>a5</t>
  </si>
  <si>
    <t>a4</t>
  </si>
  <si>
    <t>a3</t>
  </si>
  <si>
    <t>a2</t>
  </si>
  <si>
    <t>a1</t>
  </si>
  <si>
    <t>a0</t>
  </si>
  <si>
    <t>b7</t>
  </si>
  <si>
    <t>b6</t>
  </si>
  <si>
    <t>b5</t>
  </si>
  <si>
    <t>b4</t>
  </si>
  <si>
    <t>b3</t>
  </si>
  <si>
    <t>b2</t>
  </si>
  <si>
    <t>b1</t>
  </si>
  <si>
    <t>b0</t>
  </si>
  <si>
    <t>a0.b0</t>
  </si>
  <si>
    <t>a1.b0</t>
  </si>
  <si>
    <t>a2.b0</t>
  </si>
  <si>
    <t>a3.b0</t>
  </si>
  <si>
    <t>a4.b0</t>
  </si>
  <si>
    <t>a5.b0</t>
  </si>
  <si>
    <t>a6.b0</t>
  </si>
  <si>
    <t>a7.b0</t>
  </si>
  <si>
    <t>a0.b1</t>
  </si>
  <si>
    <t>a1.b1</t>
  </si>
  <si>
    <t>a2.b1</t>
  </si>
  <si>
    <t>a3.b1</t>
  </si>
  <si>
    <t>a4.b1</t>
  </si>
  <si>
    <t>a5.b1</t>
  </si>
  <si>
    <t>a6.b1</t>
  </si>
  <si>
    <t>a7.b1</t>
  </si>
  <si>
    <t>p00</t>
  </si>
  <si>
    <t>Y0</t>
  </si>
  <si>
    <t>Y1</t>
  </si>
  <si>
    <t>Y2</t>
  </si>
  <si>
    <t>Y14</t>
  </si>
  <si>
    <t>Y13</t>
  </si>
  <si>
    <t>Y12</t>
  </si>
  <si>
    <t>Y11</t>
  </si>
  <si>
    <t>Y10</t>
  </si>
  <si>
    <t>Y9</t>
  </si>
  <si>
    <t>Y8</t>
  </si>
  <si>
    <t>Y7</t>
  </si>
  <si>
    <t>Y6</t>
  </si>
  <si>
    <t>Y5</t>
  </si>
  <si>
    <t>Y4</t>
  </si>
  <si>
    <t>Y3</t>
  </si>
  <si>
    <t>Y15</t>
  </si>
  <si>
    <t>c1</t>
  </si>
  <si>
    <t>c0</t>
  </si>
  <si>
    <t>c2</t>
  </si>
  <si>
    <t xml:space="preserve">4bit </t>
  </si>
  <si>
    <t>5bit</t>
  </si>
  <si>
    <t>6bit</t>
  </si>
  <si>
    <t>7bit</t>
  </si>
  <si>
    <t>8bit</t>
  </si>
  <si>
    <t>9bit</t>
  </si>
  <si>
    <t>10bit</t>
  </si>
  <si>
    <t>Sum</t>
  </si>
  <si>
    <t>Carryout</t>
  </si>
  <si>
    <t>Value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</si>
  <si>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</si>
  <si>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</si>
  <si>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</si>
  <si>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</si>
  <si>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</si>
  <si>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</si>
  <si>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</si>
  <si>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</si>
  <si>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</si>
  <si>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</si>
  <si>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</si>
  <si>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</si>
  <si>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</si>
  <si>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</si>
  <si>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</si>
  <si>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</si>
  <si>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</si>
  <si>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</si>
  <si>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</si>
  <si>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</si>
  <si>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</si>
  <si>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</si>
  <si>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</si>
  <si>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</si>
  <si>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</si>
  <si>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</si>
  <si>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</si>
  <si>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</si>
  <si>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</si>
  <si>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</si>
  <si>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Y16</t>
  </si>
  <si>
    <t>Col0</t>
  </si>
  <si>
    <t>Col1</t>
  </si>
  <si>
    <t>Col16</t>
  </si>
  <si>
    <t>Col15</t>
  </si>
  <si>
    <t>Col14</t>
  </si>
  <si>
    <t>Col13</t>
  </si>
  <si>
    <t>Col12</t>
  </si>
  <si>
    <t>Col11</t>
  </si>
  <si>
    <t>Col10</t>
  </si>
  <si>
    <t>Col9</t>
  </si>
  <si>
    <t>Col8</t>
  </si>
  <si>
    <t>Col7</t>
  </si>
  <si>
    <t>Col6</t>
  </si>
  <si>
    <t>Col5</t>
  </si>
  <si>
    <t>Col4</t>
  </si>
  <si>
    <t>Col3</t>
  </si>
  <si>
    <t>Col2</t>
  </si>
  <si>
    <t>p70</t>
  </si>
  <si>
    <t>p60</t>
  </si>
  <si>
    <t>p50</t>
  </si>
  <si>
    <t>p40</t>
  </si>
  <si>
    <t>p30</t>
  </si>
  <si>
    <t>p20</t>
  </si>
  <si>
    <t>p10</t>
  </si>
  <si>
    <t>p71</t>
  </si>
  <si>
    <t>p61</t>
  </si>
  <si>
    <t>p51</t>
  </si>
  <si>
    <t>p41</t>
  </si>
  <si>
    <t>p31</t>
  </si>
  <si>
    <t>p21</t>
  </si>
  <si>
    <t>p11</t>
  </si>
  <si>
    <t>p01</t>
  </si>
  <si>
    <t>p72</t>
  </si>
  <si>
    <t>p62</t>
  </si>
  <si>
    <t>p52</t>
  </si>
  <si>
    <t>p42</t>
  </si>
  <si>
    <t>p32</t>
  </si>
  <si>
    <t>p22</t>
  </si>
  <si>
    <t>p12</t>
  </si>
  <si>
    <t>p02</t>
  </si>
  <si>
    <t>p73</t>
  </si>
  <si>
    <t>p63</t>
  </si>
  <si>
    <t>p53</t>
  </si>
  <si>
    <t>p43</t>
  </si>
  <si>
    <t>p33</t>
  </si>
  <si>
    <t>p23</t>
  </si>
  <si>
    <t>p13</t>
  </si>
  <si>
    <t>p03</t>
  </si>
  <si>
    <t>p74</t>
  </si>
  <si>
    <t>p64</t>
  </si>
  <si>
    <t>p54</t>
  </si>
  <si>
    <t>p44</t>
  </si>
  <si>
    <t>p34</t>
  </si>
  <si>
    <t>p24</t>
  </si>
  <si>
    <t>p14</t>
  </si>
  <si>
    <t>p04</t>
  </si>
  <si>
    <t>p75</t>
  </si>
  <si>
    <t>p65</t>
  </si>
  <si>
    <t>p55</t>
  </si>
  <si>
    <t>p45</t>
  </si>
  <si>
    <t>p35</t>
  </si>
  <si>
    <t>p25</t>
  </si>
  <si>
    <t>p15</t>
  </si>
  <si>
    <t>p05</t>
  </si>
  <si>
    <t>p76</t>
  </si>
  <si>
    <t>p66</t>
  </si>
  <si>
    <t>p56</t>
  </si>
  <si>
    <t>p46</t>
  </si>
  <si>
    <t>p36</t>
  </si>
  <si>
    <t>p26</t>
  </si>
  <si>
    <t>p16</t>
  </si>
  <si>
    <t>p06</t>
  </si>
  <si>
    <t>p77</t>
  </si>
  <si>
    <t>p67</t>
  </si>
  <si>
    <t>p57</t>
  </si>
  <si>
    <t>p47</t>
  </si>
  <si>
    <t>p37</t>
  </si>
  <si>
    <t>p27</t>
  </si>
  <si>
    <t>p17</t>
  </si>
  <si>
    <t>p07</t>
  </si>
  <si>
    <t>addr2</t>
  </si>
  <si>
    <t>addr3</t>
  </si>
  <si>
    <t>addr5</t>
  </si>
  <si>
    <t>addr6</t>
  </si>
  <si>
    <t>addr7</t>
  </si>
  <si>
    <t>addr8</t>
  </si>
  <si>
    <t>addr9</t>
  </si>
  <si>
    <t>addr10</t>
  </si>
  <si>
    <t>addr4</t>
  </si>
  <si>
    <t>{c9,c8,c7}</t>
  </si>
  <si>
    <t>{c12,c11,c10}</t>
  </si>
  <si>
    <t>{c15,c14,c13}</t>
  </si>
  <si>
    <t>{c18,c17,c16}</t>
  </si>
  <si>
    <t>{c21,c20,c19}</t>
  </si>
  <si>
    <t>{c24,c23,c22}</t>
  </si>
  <si>
    <t>{c26,c25}</t>
  </si>
  <si>
    <t>{c28,c27}</t>
  </si>
  <si>
    <t>{c30,c29}</t>
  </si>
  <si>
    <t>buf</t>
  </si>
  <si>
    <t>{c2,c1}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</si>
</sst>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3:AL27"/>
  <sheetViews>
    <sheetView tabSelected="1" topLeftCell="E1" workbookViewId="0">
      <selection activeCell="O23" sqref="O23"/>
    </sheetView>
  </sheetViews>
  <sheetFormatPr defaultRowHeight="15" x14ac:dyDescent="0.25"/>
  <cols>
    <col min="3" max="3" width="5.7109375" bestFit="1" customWidth="1"/>
    <col min="4" max="4" width="5.85546875" bestFit="1" customWidth="1"/>
    <col min="5" max="11" width="6" bestFit="1" customWidth="1"/>
    <col min="12" max="13" width="7" bestFit="1" customWidth="1"/>
    <col min="14" max="20" width="6" bestFit="1" customWidth="1"/>
    <col min="22" max="22" width="5.42578125" bestFit="1" customWidth="1"/>
    <col min="23" max="32" width="2" bestFit="1" customWidth="1"/>
    <col min="33" max="35" width="2.85546875" bestFit="1" customWidth="1"/>
    <col min="36" max="36" width="8.5703125" bestFit="1" customWidth="1"/>
    <col min="37" max="37" width="4.85546875" bestFit="1" customWidth="1"/>
    <col min="38" max="38" width="6.140625" bestFit="1" customWidth="1"/>
  </cols>
  <sheetData>
    <row r="3" spans="4:38" x14ac:dyDescent="0.25">
      <c r="M3" t="s">
        <v>0</v>
      </c>
      <c r="N3" t="s">
        <v>1</v>
      </c>
      <c r="O3" t="s">
        <v>2</v>
      </c>
      <c r="P3" t="s">
        <v>3</v>
      </c>
      <c r="Q3" t="s">
        <v>4</v>
      </c>
      <c r="R3" t="s">
        <v>5</v>
      </c>
      <c r="S3" t="s">
        <v>6</v>
      </c>
      <c r="T3" t="s">
        <v>7</v>
      </c>
    </row>
    <row r="4" spans="4:38" x14ac:dyDescent="0.25">
      <c r="M4" t="s">
        <v>8</v>
      </c>
      <c r="N4" t="s">
        <v>9</v>
      </c>
      <c r="O4" t="s">
        <v>10</v>
      </c>
      <c r="P4" t="s">
        <v>11</v>
      </c>
      <c r="Q4" t="s">
        <v>12</v>
      </c>
      <c r="R4" t="s">
        <v>13</v>
      </c>
      <c r="S4" t="s">
        <v>14</v>
      </c>
      <c r="T4" t="s">
        <v>15</v>
      </c>
    </row>
    <row r="5" spans="4:38" x14ac:dyDescent="0.25"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4:38" x14ac:dyDescent="0.25">
      <c r="M6" t="s">
        <v>23</v>
      </c>
      <c r="N6" t="s">
        <v>22</v>
      </c>
      <c r="O6" t="s">
        <v>21</v>
      </c>
      <c r="P6" t="s">
        <v>20</v>
      </c>
      <c r="Q6" t="s">
        <v>19</v>
      </c>
      <c r="R6" t="s">
        <v>18</v>
      </c>
      <c r="S6" t="s">
        <v>17</v>
      </c>
      <c r="T6" t="s">
        <v>16</v>
      </c>
    </row>
    <row r="7" spans="4:38" x14ac:dyDescent="0.25">
      <c r="L7" t="s">
        <v>31</v>
      </c>
      <c r="M7" t="s">
        <v>30</v>
      </c>
      <c r="N7" t="s">
        <v>29</v>
      </c>
      <c r="O7" t="s">
        <v>28</v>
      </c>
      <c r="P7" t="s">
        <v>27</v>
      </c>
      <c r="Q7" t="s">
        <v>26</v>
      </c>
      <c r="R7" t="s">
        <v>25</v>
      </c>
      <c r="S7" t="s">
        <v>24</v>
      </c>
    </row>
    <row r="8" spans="4:38" x14ac:dyDescent="0.25">
      <c r="K8" t="str">
        <f t="shared" ref="K8:R8" si="0">CONCATENATE(M3,".","b2")</f>
        <v>a7.b2</v>
      </c>
      <c r="L8" t="str">
        <f t="shared" si="0"/>
        <v>a6.b2</v>
      </c>
      <c r="M8" t="str">
        <f t="shared" si="0"/>
        <v>a5.b2</v>
      </c>
      <c r="N8" t="str">
        <f t="shared" si="0"/>
        <v>a4.b2</v>
      </c>
      <c r="O8" t="str">
        <f t="shared" si="0"/>
        <v>a3.b2</v>
      </c>
      <c r="P8" t="str">
        <f t="shared" si="0"/>
        <v>a2.b2</v>
      </c>
      <c r="Q8" t="str">
        <f t="shared" si="0"/>
        <v>a1.b2</v>
      </c>
      <c r="R8" t="str">
        <f t="shared" si="0"/>
        <v>a0.b2</v>
      </c>
    </row>
    <row r="9" spans="4:38" x14ac:dyDescent="0.25">
      <c r="J9" t="str">
        <f t="shared" ref="J9:Q9" si="1">CONCATENATE(M3,".","b3")</f>
        <v>a7.b3</v>
      </c>
      <c r="K9" t="str">
        <f t="shared" si="1"/>
        <v>a6.b3</v>
      </c>
      <c r="L9" t="str">
        <f t="shared" si="1"/>
        <v>a5.b3</v>
      </c>
      <c r="M9" t="str">
        <f t="shared" si="1"/>
        <v>a4.b3</v>
      </c>
      <c r="N9" t="str">
        <f t="shared" si="1"/>
        <v>a3.b3</v>
      </c>
      <c r="O9" t="str">
        <f t="shared" si="1"/>
        <v>a2.b3</v>
      </c>
      <c r="P9" t="str">
        <f t="shared" si="1"/>
        <v>a1.b3</v>
      </c>
      <c r="Q9" t="str">
        <f t="shared" si="1"/>
        <v>a0.b3</v>
      </c>
    </row>
    <row r="10" spans="4:38" x14ac:dyDescent="0.25">
      <c r="I10" t="str">
        <f t="shared" ref="I10:O10" si="2">CONCATENATE(M3,".","b4")</f>
        <v>a7.b4</v>
      </c>
      <c r="J10" t="str">
        <f t="shared" si="2"/>
        <v>a6.b4</v>
      </c>
      <c r="K10" t="str">
        <f t="shared" si="2"/>
        <v>a5.b4</v>
      </c>
      <c r="L10" t="str">
        <f t="shared" si="2"/>
        <v>a4.b4</v>
      </c>
      <c r="M10" t="str">
        <f t="shared" si="2"/>
        <v>a3.b4</v>
      </c>
      <c r="N10" t="str">
        <f t="shared" si="2"/>
        <v>a2.b4</v>
      </c>
      <c r="O10" t="str">
        <f t="shared" si="2"/>
        <v>a1.b4</v>
      </c>
      <c r="P10" t="str">
        <f>CONCATENATE(T3,".","b4")</f>
        <v>a0.b4</v>
      </c>
    </row>
    <row r="11" spans="4:38" x14ac:dyDescent="0.25">
      <c r="H11" t="str">
        <f t="shared" ref="H11:N11" si="3">CONCATENATE(M3,".","b5")</f>
        <v>a7.b5</v>
      </c>
      <c r="I11" t="str">
        <f t="shared" si="3"/>
        <v>a6.b5</v>
      </c>
      <c r="J11" t="str">
        <f t="shared" si="3"/>
        <v>a5.b5</v>
      </c>
      <c r="K11" t="str">
        <f t="shared" si="3"/>
        <v>a4.b5</v>
      </c>
      <c r="L11" t="str">
        <f t="shared" si="3"/>
        <v>a3.b5</v>
      </c>
      <c r="M11" t="str">
        <f t="shared" si="3"/>
        <v>a2.b5</v>
      </c>
      <c r="N11" t="str">
        <f t="shared" si="3"/>
        <v>a1.b5</v>
      </c>
      <c r="O11" t="str">
        <f>CONCATENATE(T3,".","b5")</f>
        <v>a0.b5</v>
      </c>
    </row>
    <row r="12" spans="4:38" x14ac:dyDescent="0.25">
      <c r="G12" t="str">
        <f t="shared" ref="G12:M12" si="4">CONCATENATE(M3,".","b6")</f>
        <v>a7.b6</v>
      </c>
      <c r="H12" t="str">
        <f t="shared" si="4"/>
        <v>a6.b6</v>
      </c>
      <c r="I12" t="str">
        <f t="shared" si="4"/>
        <v>a5.b6</v>
      </c>
      <c r="J12" t="str">
        <f t="shared" si="4"/>
        <v>a4.b6</v>
      </c>
      <c r="K12" t="str">
        <f t="shared" si="4"/>
        <v>a3.b6</v>
      </c>
      <c r="L12" t="str">
        <f t="shared" si="4"/>
        <v>a2.b6</v>
      </c>
      <c r="M12" t="str">
        <f t="shared" si="4"/>
        <v>a1.b6</v>
      </c>
      <c r="N12" t="str">
        <f>CONCATENATE(T3,".","b6")</f>
        <v>a0.b6</v>
      </c>
    </row>
    <row r="13" spans="4:38" x14ac:dyDescent="0.25">
      <c r="F13" t="str">
        <f t="shared" ref="F13:L13" si="5">CONCATENATE(M3,".","b7")</f>
        <v>a7.b7</v>
      </c>
      <c r="G13" t="str">
        <f t="shared" si="5"/>
        <v>a6.b7</v>
      </c>
      <c r="H13" t="str">
        <f t="shared" si="5"/>
        <v>a5.b7</v>
      </c>
      <c r="I13" t="str">
        <f t="shared" si="5"/>
        <v>a4.b7</v>
      </c>
      <c r="J13" t="str">
        <f t="shared" si="5"/>
        <v>a3.b7</v>
      </c>
      <c r="K13" t="str">
        <f t="shared" si="5"/>
        <v>a2.b7</v>
      </c>
      <c r="L13" t="str">
        <f t="shared" si="5"/>
        <v>a1.b7</v>
      </c>
      <c r="M13" t="str">
        <f>CONCATENATE(T3,".","b7")</f>
        <v>a0.b7</v>
      </c>
    </row>
    <row r="14" spans="4:38" x14ac:dyDescent="0.25">
      <c r="D14" s="1" t="s">
        <v>95</v>
      </c>
      <c r="E14" s="1" t="s">
        <v>96</v>
      </c>
      <c r="F14" s="1" t="s">
        <v>97</v>
      </c>
      <c r="G14" s="1" t="s">
        <v>98</v>
      </c>
      <c r="H14" s="1" t="s">
        <v>99</v>
      </c>
      <c r="I14" s="1" t="s">
        <v>100</v>
      </c>
      <c r="J14" s="1" t="s">
        <v>101</v>
      </c>
      <c r="K14" s="1" t="s">
        <v>102</v>
      </c>
      <c r="L14" s="1" t="s">
        <v>103</v>
      </c>
      <c r="M14" s="1" t="s">
        <v>104</v>
      </c>
      <c r="N14" s="1" t="s">
        <v>105</v>
      </c>
      <c r="O14" s="1" t="s">
        <v>106</v>
      </c>
      <c r="P14" s="1" t="s">
        <v>107</v>
      </c>
      <c r="Q14" s="1" t="s">
        <v>108</v>
      </c>
      <c r="R14" s="1" t="s">
        <v>109</v>
      </c>
      <c r="S14" s="1" t="s">
        <v>94</v>
      </c>
      <c r="T14" s="1" t="s">
        <v>93</v>
      </c>
    </row>
    <row r="15" spans="4:38" x14ac:dyDescent="0.25">
      <c r="E15" t="str">
        <f t="shared" ref="E15:S15" si="6">CONCATENATE("addr",COUNTA(E16:E26))</f>
        <v>addr2</v>
      </c>
      <c r="F15" t="str">
        <f t="shared" si="6"/>
        <v>addr3</v>
      </c>
      <c r="G15" t="str">
        <f t="shared" si="6"/>
        <v>addr5</v>
      </c>
      <c r="H15" t="str">
        <f t="shared" si="6"/>
        <v>addr6</v>
      </c>
      <c r="I15" t="str">
        <f t="shared" si="6"/>
        <v>addr7</v>
      </c>
      <c r="J15" t="str">
        <f t="shared" si="6"/>
        <v>addr8</v>
      </c>
      <c r="K15" t="str">
        <f t="shared" si="6"/>
        <v>addr9</v>
      </c>
      <c r="L15" t="str">
        <f t="shared" si="6"/>
        <v>addr10</v>
      </c>
      <c r="M15" t="str">
        <f t="shared" si="6"/>
        <v>addr10</v>
      </c>
      <c r="N15" t="str">
        <f t="shared" si="6"/>
        <v>addr9</v>
      </c>
      <c r="O15" t="str">
        <f t="shared" si="6"/>
        <v>addr8</v>
      </c>
      <c r="P15" t="str">
        <f t="shared" si="6"/>
        <v>addr7</v>
      </c>
      <c r="Q15" t="str">
        <f t="shared" si="6"/>
        <v>addr5</v>
      </c>
      <c r="R15" t="str">
        <f t="shared" si="6"/>
        <v>addr4</v>
      </c>
      <c r="S15" t="str">
        <f t="shared" si="6"/>
        <v>addr2</v>
      </c>
      <c r="T15" t="str">
        <f>CONCATENATE("addr",COUNTA(T16:T26))</f>
        <v>addr1</v>
      </c>
    </row>
    <row r="16" spans="4:38" x14ac:dyDescent="0.25">
      <c r="M16" t="str">
        <f t="shared" ref="M16:T16" si="7">CONCATENATE("p",(MID(M6,2,1)),(RIGHT(M6,1)))</f>
        <v>p70</v>
      </c>
      <c r="N16" t="str">
        <f t="shared" si="7"/>
        <v>p60</v>
      </c>
      <c r="O16" t="str">
        <f t="shared" si="7"/>
        <v>p50</v>
      </c>
      <c r="P16" t="str">
        <f t="shared" si="7"/>
        <v>p40</v>
      </c>
      <c r="Q16" t="str">
        <f t="shared" si="7"/>
        <v>p30</v>
      </c>
      <c r="R16" t="str">
        <f t="shared" si="7"/>
        <v>p20</v>
      </c>
      <c r="S16" t="str">
        <f t="shared" si="7"/>
        <v>p10</v>
      </c>
      <c r="T16" t="str">
        <f t="shared" si="7"/>
        <v>p00</v>
      </c>
      <c r="AG16" t="s">
        <v>51</v>
      </c>
      <c r="AH16" t="s">
        <v>49</v>
      </c>
      <c r="AI16" t="s">
        <v>50</v>
      </c>
      <c r="AJ16" t="s">
        <v>60</v>
      </c>
      <c r="AK16" t="s">
        <v>59</v>
      </c>
      <c r="AL16" t="s">
        <v>61</v>
      </c>
    </row>
    <row r="17" spans="4:38" x14ac:dyDescent="0.25">
      <c r="L17" t="str">
        <f t="shared" ref="L17:S17" si="8">CONCATENATE("p",(MID(L7,2,1)),(RIGHT(L7,1)))</f>
        <v>p71</v>
      </c>
      <c r="M17" t="str">
        <f t="shared" si="8"/>
        <v>p61</v>
      </c>
      <c r="N17" t="str">
        <f t="shared" si="8"/>
        <v>p51</v>
      </c>
      <c r="O17" t="str">
        <f t="shared" si="8"/>
        <v>p41</v>
      </c>
      <c r="P17" t="str">
        <f t="shared" si="8"/>
        <v>p31</v>
      </c>
      <c r="Q17" t="str">
        <f t="shared" si="8"/>
        <v>p21</v>
      </c>
      <c r="R17" t="str">
        <f t="shared" si="8"/>
        <v>p11</v>
      </c>
      <c r="S17" t="str">
        <f t="shared" si="8"/>
        <v>p01</v>
      </c>
      <c r="V17" t="s">
        <v>52</v>
      </c>
      <c r="W17">
        <v>1</v>
      </c>
      <c r="X17">
        <v>1</v>
      </c>
      <c r="Y17">
        <v>1</v>
      </c>
      <c r="Z17">
        <v>1</v>
      </c>
      <c r="AG17">
        <v>0</v>
      </c>
      <c r="AH17">
        <v>1</v>
      </c>
      <c r="AI17">
        <v>0</v>
      </c>
      <c r="AJ17" t="str">
        <f t="shared" ref="AJ17:AJ23" si="9">IF(AG17=0,CONCATENATE(AH17,AI17),CONCATENATE(AG17,AH17,AI17))</f>
        <v>10</v>
      </c>
      <c r="AK17">
        <v>0</v>
      </c>
      <c r="AL17">
        <f>BIN2DEC(CONCATENATE(AJ17,AK17))</f>
        <v>4</v>
      </c>
    </row>
    <row r="18" spans="4:38" x14ac:dyDescent="0.25">
      <c r="K18" t="str">
        <f t="shared" ref="K18:R18" si="10">CONCATENATE("p",(MID(K8,2,1)),(RIGHT(K8,1)))</f>
        <v>p72</v>
      </c>
      <c r="L18" t="str">
        <f t="shared" si="10"/>
        <v>p62</v>
      </c>
      <c r="M18" t="str">
        <f t="shared" si="10"/>
        <v>p52</v>
      </c>
      <c r="N18" t="str">
        <f t="shared" si="10"/>
        <v>p42</v>
      </c>
      <c r="O18" t="str">
        <f t="shared" si="10"/>
        <v>p32</v>
      </c>
      <c r="P18" t="str">
        <f t="shared" si="10"/>
        <v>p22</v>
      </c>
      <c r="Q18" t="str">
        <f t="shared" si="10"/>
        <v>p12</v>
      </c>
      <c r="R18" t="str">
        <f t="shared" si="10"/>
        <v>p02</v>
      </c>
      <c r="V18" t="s">
        <v>53</v>
      </c>
      <c r="W18">
        <v>1</v>
      </c>
      <c r="X18">
        <v>1</v>
      </c>
      <c r="Y18">
        <v>1</v>
      </c>
      <c r="Z18">
        <v>1</v>
      </c>
      <c r="AA18">
        <v>1</v>
      </c>
      <c r="AG18">
        <v>0</v>
      </c>
      <c r="AH18">
        <v>1</v>
      </c>
      <c r="AI18">
        <v>0</v>
      </c>
      <c r="AJ18" t="str">
        <f t="shared" si="9"/>
        <v>10</v>
      </c>
      <c r="AK18">
        <v>1</v>
      </c>
      <c r="AL18">
        <f t="shared" ref="AL18:AL23" si="11">BIN2DEC(CONCATENATE(AJ18,AK18))</f>
        <v>5</v>
      </c>
    </row>
    <row r="19" spans="4:38" x14ac:dyDescent="0.25">
      <c r="J19" t="str">
        <f t="shared" ref="J19:Q19" si="12">CONCATENATE("p",(MID(J9,2,1)),(RIGHT(J9,1)))</f>
        <v>p73</v>
      </c>
      <c r="K19" t="str">
        <f t="shared" si="12"/>
        <v>p63</v>
      </c>
      <c r="L19" t="str">
        <f t="shared" si="12"/>
        <v>p53</v>
      </c>
      <c r="M19" t="str">
        <f t="shared" si="12"/>
        <v>p43</v>
      </c>
      <c r="N19" t="str">
        <f t="shared" si="12"/>
        <v>p33</v>
      </c>
      <c r="O19" t="str">
        <f t="shared" si="12"/>
        <v>p23</v>
      </c>
      <c r="P19" t="str">
        <f t="shared" si="12"/>
        <v>p13</v>
      </c>
      <c r="Q19" t="str">
        <f t="shared" si="12"/>
        <v>p03</v>
      </c>
      <c r="R19" t="s">
        <v>50</v>
      </c>
      <c r="V19" t="s">
        <v>54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G19">
        <v>0</v>
      </c>
      <c r="AH19">
        <v>1</v>
      </c>
      <c r="AI19">
        <v>1</v>
      </c>
      <c r="AJ19" t="str">
        <f t="shared" si="9"/>
        <v>11</v>
      </c>
      <c r="AK19">
        <v>0</v>
      </c>
      <c r="AL19">
        <f t="shared" si="11"/>
        <v>6</v>
      </c>
    </row>
    <row r="20" spans="4:38" x14ac:dyDescent="0.25">
      <c r="I20" t="str">
        <f t="shared" ref="I20:P20" si="13">CONCATENATE("p",(MID(I10,2,1)),(RIGHT(I10,1)))</f>
        <v>p74</v>
      </c>
      <c r="J20" t="str">
        <f t="shared" si="13"/>
        <v>p64</v>
      </c>
      <c r="K20" t="str">
        <f t="shared" si="13"/>
        <v>p54</v>
      </c>
      <c r="L20" t="str">
        <f t="shared" si="13"/>
        <v>p44</v>
      </c>
      <c r="M20" t="str">
        <f t="shared" si="13"/>
        <v>p34</v>
      </c>
      <c r="N20" t="str">
        <f t="shared" si="13"/>
        <v>p24</v>
      </c>
      <c r="O20" t="str">
        <f t="shared" si="13"/>
        <v>p14</v>
      </c>
      <c r="P20" t="str">
        <f t="shared" si="13"/>
        <v>p04</v>
      </c>
      <c r="Q20" t="s">
        <v>49</v>
      </c>
      <c r="V20" t="s">
        <v>55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G20">
        <v>0</v>
      </c>
      <c r="AH20">
        <v>1</v>
      </c>
      <c r="AI20">
        <v>1</v>
      </c>
      <c r="AJ20" t="str">
        <f t="shared" si="9"/>
        <v>11</v>
      </c>
      <c r="AK20">
        <v>1</v>
      </c>
      <c r="AL20">
        <f t="shared" si="11"/>
        <v>7</v>
      </c>
    </row>
    <row r="21" spans="4:38" x14ac:dyDescent="0.25">
      <c r="H21" t="str">
        <f t="shared" ref="H21:O21" si="14">CONCATENATE("p",(MID(H11,2,1)),(RIGHT(H11,1)))</f>
        <v>p75</v>
      </c>
      <c r="I21" t="str">
        <f t="shared" si="14"/>
        <v>p65</v>
      </c>
      <c r="J21" t="str">
        <f t="shared" si="14"/>
        <v>p55</v>
      </c>
      <c r="K21" t="str">
        <f t="shared" si="14"/>
        <v>p45</v>
      </c>
      <c r="L21" t="str">
        <f t="shared" si="14"/>
        <v>p35</v>
      </c>
      <c r="M21" t="str">
        <f t="shared" si="14"/>
        <v>p25</v>
      </c>
      <c r="N21" t="str">
        <f t="shared" si="14"/>
        <v>p15</v>
      </c>
      <c r="O21" t="str">
        <f t="shared" si="14"/>
        <v>p05</v>
      </c>
      <c r="P21" t="s">
        <v>51</v>
      </c>
      <c r="V21" t="s">
        <v>56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G21">
        <v>1</v>
      </c>
      <c r="AH21">
        <v>0</v>
      </c>
      <c r="AI21">
        <v>0</v>
      </c>
      <c r="AJ21" t="str">
        <f t="shared" si="9"/>
        <v>100</v>
      </c>
      <c r="AK21">
        <v>0</v>
      </c>
      <c r="AL21">
        <f t="shared" si="11"/>
        <v>8</v>
      </c>
    </row>
    <row r="22" spans="4:38" x14ac:dyDescent="0.25">
      <c r="G22" t="str">
        <f t="shared" ref="G22:N22" si="15">CONCATENATE("p",(MID(G12,2,1)),(RIGHT(G12,1)))</f>
        <v>p76</v>
      </c>
      <c r="H22" t="str">
        <f t="shared" si="15"/>
        <v>p66</v>
      </c>
      <c r="I22" t="str">
        <f t="shared" si="15"/>
        <v>p56</v>
      </c>
      <c r="J22" t="str">
        <f t="shared" si="15"/>
        <v>p46</v>
      </c>
      <c r="K22" t="str">
        <f t="shared" si="15"/>
        <v>p36</v>
      </c>
      <c r="L22" t="str">
        <f t="shared" si="15"/>
        <v>p26</v>
      </c>
      <c r="M22" t="str">
        <f t="shared" si="15"/>
        <v>p16</v>
      </c>
      <c r="N22" t="str">
        <f t="shared" si="15"/>
        <v>p06</v>
      </c>
      <c r="O22" t="s">
        <v>63</v>
      </c>
      <c r="P22" t="s">
        <v>62</v>
      </c>
      <c r="V22" t="s">
        <v>57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G22">
        <v>1</v>
      </c>
      <c r="AH22">
        <v>0</v>
      </c>
      <c r="AI22">
        <v>0</v>
      </c>
      <c r="AJ22" t="str">
        <f t="shared" si="9"/>
        <v>100</v>
      </c>
      <c r="AK22">
        <v>1</v>
      </c>
      <c r="AL22">
        <f t="shared" si="11"/>
        <v>9</v>
      </c>
    </row>
    <row r="23" spans="4:38" x14ac:dyDescent="0.25">
      <c r="F23" t="str">
        <f t="shared" ref="F23:M23" si="16">CONCATENATE("p",(MID(F13,2,1)),(RIGHT(F13,1)))</f>
        <v>p77</v>
      </c>
      <c r="G23" t="str">
        <f t="shared" si="16"/>
        <v>p67</v>
      </c>
      <c r="H23" t="str">
        <f t="shared" si="16"/>
        <v>p57</v>
      </c>
      <c r="I23" t="str">
        <f t="shared" si="16"/>
        <v>p47</v>
      </c>
      <c r="J23" t="str">
        <f t="shared" si="16"/>
        <v>p37</v>
      </c>
      <c r="K23" t="str">
        <f t="shared" si="16"/>
        <v>p27</v>
      </c>
      <c r="L23" t="str">
        <f t="shared" si="16"/>
        <v>p17</v>
      </c>
      <c r="M23" t="str">
        <f t="shared" si="16"/>
        <v>p07</v>
      </c>
      <c r="N23" t="s">
        <v>65</v>
      </c>
      <c r="O23" t="s">
        <v>64</v>
      </c>
      <c r="V23" t="s">
        <v>58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0</v>
      </c>
      <c r="AI23">
        <v>1</v>
      </c>
      <c r="AJ23" t="str">
        <f t="shared" si="9"/>
        <v>101</v>
      </c>
      <c r="AK23">
        <v>0</v>
      </c>
      <c r="AL23">
        <f t="shared" si="11"/>
        <v>10</v>
      </c>
    </row>
    <row r="24" spans="4:38" x14ac:dyDescent="0.25">
      <c r="D24" t="s">
        <v>91</v>
      </c>
      <c r="E24" t="s">
        <v>89</v>
      </c>
      <c r="F24" t="s">
        <v>87</v>
      </c>
      <c r="G24" t="s">
        <v>83</v>
      </c>
      <c r="H24" t="s">
        <v>80</v>
      </c>
      <c r="I24" t="s">
        <v>77</v>
      </c>
      <c r="J24" t="s">
        <v>74</v>
      </c>
      <c r="K24" t="s">
        <v>71</v>
      </c>
      <c r="L24" t="s">
        <v>68</v>
      </c>
      <c r="M24" t="s">
        <v>67</v>
      </c>
      <c r="N24" t="s">
        <v>66</v>
      </c>
    </row>
    <row r="25" spans="4:38" x14ac:dyDescent="0.25">
      <c r="E25" t="s">
        <v>90</v>
      </c>
      <c r="F25" t="s">
        <v>88</v>
      </c>
      <c r="G25" t="s">
        <v>85</v>
      </c>
      <c r="H25" t="s">
        <v>82</v>
      </c>
      <c r="I25" t="s">
        <v>79</v>
      </c>
      <c r="J25" t="s">
        <v>76</v>
      </c>
      <c r="K25" t="s">
        <v>73</v>
      </c>
      <c r="L25" t="s">
        <v>70</v>
      </c>
      <c r="M25" t="s">
        <v>69</v>
      </c>
    </row>
    <row r="26" spans="4:38" x14ac:dyDescent="0.25">
      <c r="G26" t="s">
        <v>86</v>
      </c>
      <c r="H26" t="s">
        <v>84</v>
      </c>
      <c r="I26" t="s">
        <v>81</v>
      </c>
      <c r="J26" t="s">
        <v>78</v>
      </c>
      <c r="K26" t="s">
        <v>75</v>
      </c>
      <c r="L26" t="s">
        <v>72</v>
      </c>
    </row>
    <row r="27" spans="4:38" x14ac:dyDescent="0.25">
      <c r="D27" t="s">
        <v>92</v>
      </c>
      <c r="E27" t="s">
        <v>48</v>
      </c>
      <c r="F27" t="s">
        <v>36</v>
      </c>
      <c r="G27" t="s">
        <v>37</v>
      </c>
      <c r="H27" t="s">
        <v>38</v>
      </c>
      <c r="I27" t="s">
        <v>39</v>
      </c>
      <c r="J27" t="s">
        <v>40</v>
      </c>
      <c r="K27" t="s">
        <v>41</v>
      </c>
      <c r="L27" t="s">
        <v>42</v>
      </c>
      <c r="M27" t="s">
        <v>43</v>
      </c>
      <c r="N27" t="s">
        <v>44</v>
      </c>
      <c r="O27" t="s">
        <v>45</v>
      </c>
      <c r="P27" t="s">
        <v>46</v>
      </c>
      <c r="Q27" t="s">
        <v>47</v>
      </c>
      <c r="R27" t="s">
        <v>35</v>
      </c>
      <c r="S27" t="s">
        <v>34</v>
      </c>
      <c r="T27" t="s">
        <v>33</v>
      </c>
    </row>
  </sheetData>
  <sortState xmlns:xlrd2="http://schemas.microsoft.com/office/spreadsheetml/2017/richdata2" ref="Q48:S64">
    <sortCondition descending="1" ref="Q48:Q64"/>
  </sortState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6A0A0-1133-4A32-9A7F-EC5FE806E49E}">
  <dimension ref="A1:AF25"/>
  <sheetViews>
    <sheetView topLeftCell="T1" workbookViewId="0">
      <selection activeCell="V17" sqref="V17"/>
    </sheetView>
  </sheetViews>
  <sheetFormatPr defaultRowHeight="15" x14ac:dyDescent="0.25"/>
  <cols>
    <col min="1" max="8" width="6" bestFit="1" customWidth="1"/>
    <col min="9" max="10" width="7" bestFit="1" customWidth="1"/>
    <col min="11" max="17" width="6" bestFit="1" customWidth="1"/>
    <col min="18" max="18" width="7" bestFit="1" customWidth="1"/>
    <col min="19" max="19" width="5.85546875" bestFit="1" customWidth="1"/>
    <col min="20" max="20" width="12.140625" bestFit="1" customWidth="1"/>
    <col min="21" max="21" width="5.42578125" bestFit="1" customWidth="1"/>
    <col min="32" max="32" width="25.5703125" bestFit="1" customWidth="1"/>
  </cols>
  <sheetData>
    <row r="1" spans="1:32" x14ac:dyDescent="0.25">
      <c r="A1" s="1" t="s">
        <v>95</v>
      </c>
      <c r="B1" s="1" t="s">
        <v>96</v>
      </c>
      <c r="C1" s="1" t="s">
        <v>97</v>
      </c>
      <c r="D1" s="1" t="s">
        <v>98</v>
      </c>
      <c r="E1" s="1" t="s">
        <v>99</v>
      </c>
      <c r="F1" s="1" t="s">
        <v>100</v>
      </c>
      <c r="G1" s="1" t="s">
        <v>101</v>
      </c>
      <c r="H1" s="1" t="s">
        <v>102</v>
      </c>
      <c r="I1" s="1" t="s">
        <v>103</v>
      </c>
      <c r="J1" s="1" t="s">
        <v>104</v>
      </c>
      <c r="K1" s="1" t="s">
        <v>105</v>
      </c>
      <c r="L1" s="1" t="s">
        <v>106</v>
      </c>
      <c r="M1" s="1" t="s">
        <v>107</v>
      </c>
      <c r="N1" s="1" t="s">
        <v>108</v>
      </c>
      <c r="O1" s="1" t="s">
        <v>109</v>
      </c>
      <c r="P1" s="1" t="s">
        <v>94</v>
      </c>
      <c r="Q1" s="1" t="s">
        <v>93</v>
      </c>
    </row>
    <row r="2" spans="1:32" x14ac:dyDescent="0.25">
      <c r="A2" t="s">
        <v>92</v>
      </c>
      <c r="B2" t="s">
        <v>48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  <c r="I2" t="s">
        <v>42</v>
      </c>
      <c r="J2" t="s">
        <v>43</v>
      </c>
      <c r="K2" t="s">
        <v>44</v>
      </c>
      <c r="L2" t="s">
        <v>45</v>
      </c>
      <c r="M2" t="s">
        <v>46</v>
      </c>
      <c r="N2" t="s">
        <v>47</v>
      </c>
      <c r="O2" t="s">
        <v>35</v>
      </c>
      <c r="P2" t="s">
        <v>34</v>
      </c>
      <c r="Q2" t="s">
        <v>33</v>
      </c>
    </row>
    <row r="3" spans="1:32" x14ac:dyDescent="0.25">
      <c r="A3" t="str">
        <f t="shared" ref="A3:Q3" si="0">CONCATENATE("addr",COUNTA(A4:A25))</f>
        <v>addr1</v>
      </c>
      <c r="B3" t="str">
        <f t="shared" si="0"/>
        <v>addr2</v>
      </c>
      <c r="C3" t="str">
        <f t="shared" si="0"/>
        <v>addr3</v>
      </c>
      <c r="D3" t="str">
        <f t="shared" si="0"/>
        <v>addr5</v>
      </c>
      <c r="E3" t="str">
        <f t="shared" si="0"/>
        <v>addr6</v>
      </c>
      <c r="F3" t="str">
        <f t="shared" si="0"/>
        <v>addr7</v>
      </c>
      <c r="G3" t="str">
        <f t="shared" si="0"/>
        <v>addr8</v>
      </c>
      <c r="H3" t="str">
        <f t="shared" si="0"/>
        <v>addr9</v>
      </c>
      <c r="I3" t="str">
        <f t="shared" si="0"/>
        <v>addr10</v>
      </c>
      <c r="J3" t="str">
        <f t="shared" si="0"/>
        <v>addr10</v>
      </c>
      <c r="K3" t="str">
        <f t="shared" si="0"/>
        <v>addr9</v>
      </c>
      <c r="L3" t="str">
        <f t="shared" si="0"/>
        <v>addr8</v>
      </c>
      <c r="M3" t="str">
        <f t="shared" si="0"/>
        <v>addr7</v>
      </c>
      <c r="N3" t="str">
        <f t="shared" si="0"/>
        <v>addr5</v>
      </c>
      <c r="O3" t="str">
        <f t="shared" si="0"/>
        <v>addr4</v>
      </c>
      <c r="P3" t="str">
        <f t="shared" si="0"/>
        <v>addr2</v>
      </c>
      <c r="Q3" t="str">
        <f t="shared" si="0"/>
        <v>addr1</v>
      </c>
    </row>
    <row r="4" spans="1:32" x14ac:dyDescent="0.25">
      <c r="J4" t="s">
        <v>110</v>
      </c>
      <c r="K4" t="s">
        <v>111</v>
      </c>
      <c r="L4" t="s">
        <v>112</v>
      </c>
      <c r="M4" t="s">
        <v>113</v>
      </c>
      <c r="N4" t="s">
        <v>114</v>
      </c>
      <c r="O4" t="s">
        <v>115</v>
      </c>
      <c r="P4" t="s">
        <v>116</v>
      </c>
      <c r="Q4" t="s">
        <v>32</v>
      </c>
      <c r="R4" t="s">
        <v>191</v>
      </c>
      <c r="S4" t="s">
        <v>93</v>
      </c>
      <c r="U4" t="str">
        <f t="shared" ref="U4:U13" si="1">CONCATENATE("Y[",RIGHT(S4,1),"]")</f>
        <v>Y[0]</v>
      </c>
      <c r="V4" t="str">
        <f>TRANSPOSE(Mul8Analysis!T16)</f>
        <v>p00</v>
      </c>
      <c r="AF4" t="str">
        <f>CONCATENATE(R4," ",S4,"(",T4,,U4,",",V4,")")</f>
        <v>buf Col0(Y[0],p00)</v>
      </c>
    </row>
    <row r="5" spans="1:32" x14ac:dyDescent="0.25">
      <c r="I5" t="s">
        <v>117</v>
      </c>
      <c r="J5" t="s">
        <v>118</v>
      </c>
      <c r="K5" t="s">
        <v>119</v>
      </c>
      <c r="L5" t="s">
        <v>120</v>
      </c>
      <c r="M5" t="s">
        <v>121</v>
      </c>
      <c r="N5" t="s">
        <v>122</v>
      </c>
      <c r="O5" t="s">
        <v>123</v>
      </c>
      <c r="P5" t="s">
        <v>124</v>
      </c>
      <c r="R5" t="s">
        <v>173</v>
      </c>
      <c r="S5" t="s">
        <v>94</v>
      </c>
      <c r="T5" t="s">
        <v>50</v>
      </c>
      <c r="U5" t="str">
        <f t="shared" si="1"/>
        <v>Y[1]</v>
      </c>
      <c r="V5" t="str">
        <f t="array" ref="V5:W5">TRANSPOSE(Mul8Analysis!S16:S17)</f>
        <v>p10</v>
      </c>
      <c r="W5" t="str">
        <v>p01</v>
      </c>
      <c r="AF5" t="str">
        <f>CONCATENATE(R5," ",S5,"(",T5,",",U5,",",V5,",",W5,")")</f>
        <v>addr2 Col1(c0,Y[1],p10,p01)</v>
      </c>
    </row>
    <row r="6" spans="1:32" x14ac:dyDescent="0.25">
      <c r="H6" t="s">
        <v>125</v>
      </c>
      <c r="I6" t="s">
        <v>126</v>
      </c>
      <c r="J6" t="s">
        <v>127</v>
      </c>
      <c r="K6" t="s">
        <v>128</v>
      </c>
      <c r="L6" t="s">
        <v>129</v>
      </c>
      <c r="M6" t="s">
        <v>130</v>
      </c>
      <c r="N6" t="s">
        <v>131</v>
      </c>
      <c r="O6" t="s">
        <v>132</v>
      </c>
      <c r="R6" t="s">
        <v>181</v>
      </c>
      <c r="S6" t="s">
        <v>109</v>
      </c>
      <c r="T6" t="s">
        <v>192</v>
      </c>
      <c r="U6" t="str">
        <f t="shared" si="1"/>
        <v>Y[2]</v>
      </c>
      <c r="V6" t="str">
        <f t="array" ref="V6:Y6">TRANSPOSE(Mul8Analysis!R16:R19)</f>
        <v>p20</v>
      </c>
      <c r="W6" t="str">
        <v>p11</v>
      </c>
      <c r="X6" t="str">
        <v>p02</v>
      </c>
      <c r="Y6" t="str">
        <v>c0</v>
      </c>
      <c r="AF6" t="str">
        <f>CONCATENATE(R6," ",S6,"(",T6,",",U6,",",V6,",",W6,",",X6,",",Y6,")")</f>
        <v>addr4 Col2({c2,c1},Y[2],p20,p11,p02,c0)</v>
      </c>
    </row>
    <row r="7" spans="1:32" x14ac:dyDescent="0.25">
      <c r="G7" t="s">
        <v>133</v>
      </c>
      <c r="H7" t="s">
        <v>134</v>
      </c>
      <c r="I7" t="s">
        <v>135</v>
      </c>
      <c r="J7" t="s">
        <v>136</v>
      </c>
      <c r="K7" t="s">
        <v>137</v>
      </c>
      <c r="L7" t="s">
        <v>138</v>
      </c>
      <c r="M7" t="s">
        <v>139</v>
      </c>
      <c r="N7" t="s">
        <v>140</v>
      </c>
      <c r="R7" t="s">
        <v>175</v>
      </c>
      <c r="S7" t="s">
        <v>108</v>
      </c>
      <c r="T7" t="str">
        <f>CONCATENATE("{",L14,",",M14,"}")</f>
        <v>{c4,c3}</v>
      </c>
      <c r="U7" t="str">
        <f t="shared" si="1"/>
        <v>Y[3]</v>
      </c>
      <c r="V7" t="str">
        <f t="array" ref="V7:Z7">TRANSPOSE(Mul8Analysis!Q16:Q20)</f>
        <v>p30</v>
      </c>
      <c r="W7" t="str">
        <v>p21</v>
      </c>
      <c r="X7" t="str">
        <v>p12</v>
      </c>
      <c r="Y7" t="str">
        <v>p03</v>
      </c>
      <c r="Z7" t="str">
        <v>c1</v>
      </c>
      <c r="AF7" t="str">
        <f>CONCATENATE(R7," ",S7,"(",T7,",",U7,",",V7,",",W7,",",X7,",",Y7,",",Z7,")")</f>
        <v>addr5 Col3({c4,c3},Y[3],p30,p21,p12,p03,c1)</v>
      </c>
    </row>
    <row r="8" spans="1:32" x14ac:dyDescent="0.25">
      <c r="F8" t="s">
        <v>141</v>
      </c>
      <c r="G8" t="s">
        <v>142</v>
      </c>
      <c r="H8" t="s">
        <v>143</v>
      </c>
      <c r="I8" t="s">
        <v>144</v>
      </c>
      <c r="J8" t="s">
        <v>145</v>
      </c>
      <c r="K8" t="s">
        <v>146</v>
      </c>
      <c r="L8" t="s">
        <v>147</v>
      </c>
      <c r="M8" t="s">
        <v>148</v>
      </c>
      <c r="R8" t="s">
        <v>177</v>
      </c>
      <c r="S8" t="s">
        <v>107</v>
      </c>
      <c r="T8" t="str">
        <f>CONCATENATE("{",K15,",",L15,"}")</f>
        <v>{c6,c5}</v>
      </c>
      <c r="U8" t="str">
        <f t="shared" si="1"/>
        <v>Y[4]</v>
      </c>
      <c r="V8" t="str">
        <f t="array" ref="V8:AB8">TRANSPOSE(Mul8Analysis!P16:P22)</f>
        <v>p40</v>
      </c>
      <c r="W8" t="str">
        <v>p31</v>
      </c>
      <c r="X8" t="str">
        <v>p22</v>
      </c>
      <c r="Y8" t="str">
        <v>p13</v>
      </c>
      <c r="Z8" t="str">
        <v>p04</v>
      </c>
      <c r="AA8" t="str">
        <v>c2</v>
      </c>
      <c r="AB8" t="str">
        <v>c3</v>
      </c>
      <c r="AF8" t="str">
        <f>CONCATENATE(R8," ",S8,"(",T8,",",U8,",",V8,",",W8,",",X8,",",Y8,",",Z8,",",AA8,",",AB8,")")</f>
        <v>addr7 Col4({c6,c5},Y[4],p40,p31,p22,p13,p04,c2,c3)</v>
      </c>
    </row>
    <row r="9" spans="1:32" x14ac:dyDescent="0.25">
      <c r="E9" t="s">
        <v>149</v>
      </c>
      <c r="F9" t="s">
        <v>150</v>
      </c>
      <c r="G9" t="s">
        <v>151</v>
      </c>
      <c r="H9" t="s">
        <v>152</v>
      </c>
      <c r="I9" t="s">
        <v>153</v>
      </c>
      <c r="J9" t="s">
        <v>154</v>
      </c>
      <c r="K9" t="s">
        <v>155</v>
      </c>
      <c r="L9" t="s">
        <v>156</v>
      </c>
      <c r="R9" t="s">
        <v>178</v>
      </c>
      <c r="S9" t="s">
        <v>106</v>
      </c>
      <c r="T9" t="s">
        <v>182</v>
      </c>
      <c r="U9" t="str">
        <f t="shared" si="1"/>
        <v>Y[5]</v>
      </c>
      <c r="V9" t="str">
        <f t="array" ref="V9:AC9">TRANSPOSE(Mul8Analysis!O16:O23)</f>
        <v>p50</v>
      </c>
      <c r="W9" t="str">
        <v>p41</v>
      </c>
      <c r="X9" t="str">
        <v>p32</v>
      </c>
      <c r="Y9" t="str">
        <v>p23</v>
      </c>
      <c r="Z9" t="str">
        <v>p14</v>
      </c>
      <c r="AA9" t="str">
        <v>p05</v>
      </c>
      <c r="AB9" t="str">
        <v>c4</v>
      </c>
      <c r="AC9" t="str">
        <v>c5</v>
      </c>
      <c r="AF9" t="str">
        <f>CONCATENATE(R9," ",S9,"(",T9,",",U9,",",V9,",",W9,",",X9,",",Y9,,",",Z9,",",AA9,",",AB9,",",AC9,")")</f>
        <v>addr8 Col5({c9,c8,c7},Y[5],p50,p41,p32,p23,p14,p05,c4,c5)</v>
      </c>
    </row>
    <row r="10" spans="1:32" x14ac:dyDescent="0.25">
      <c r="D10" t="s">
        <v>157</v>
      </c>
      <c r="E10" t="s">
        <v>158</v>
      </c>
      <c r="F10" t="s">
        <v>159</v>
      </c>
      <c r="G10" t="s">
        <v>160</v>
      </c>
      <c r="H10" t="s">
        <v>161</v>
      </c>
      <c r="I10" t="s">
        <v>162</v>
      </c>
      <c r="J10" t="s">
        <v>163</v>
      </c>
      <c r="K10" t="s">
        <v>164</v>
      </c>
      <c r="R10" t="s">
        <v>179</v>
      </c>
      <c r="S10" t="s">
        <v>105</v>
      </c>
      <c r="T10" t="s">
        <v>183</v>
      </c>
      <c r="U10" t="str">
        <f t="shared" si="1"/>
        <v>Y[6]</v>
      </c>
      <c r="V10" t="str">
        <f t="array" ref="V10:AD10">TRANSPOSE(Mul8Analysis!N16:N24)</f>
        <v>p60</v>
      </c>
      <c r="W10" t="str">
        <v>p51</v>
      </c>
      <c r="X10" t="str">
        <v>p42</v>
      </c>
      <c r="Y10" t="str">
        <v>p33</v>
      </c>
      <c r="Z10" t="str">
        <v>p24</v>
      </c>
      <c r="AA10" t="str">
        <v>p15</v>
      </c>
      <c r="AB10" t="str">
        <v>p06</v>
      </c>
      <c r="AC10" t="str">
        <v>c6</v>
      </c>
      <c r="AD10" t="str">
        <v>c7</v>
      </c>
      <c r="AF10" t="str">
        <f>CONCATENATE(R10," ",S10,"(",T10,",",U10,",",V10,",",W10,",",X10,",",Y10,",",Z10,",",AA10,",",AB10,",",AC10,",",AD10,")")</f>
        <v>addr9 Col6({c12,c11,c10},Y[6],p60,p51,p42,p33,p24,p15,p06,c6,c7)</v>
      </c>
    </row>
    <row r="11" spans="1:32" x14ac:dyDescent="0.25">
      <c r="C11" t="s">
        <v>165</v>
      </c>
      <c r="D11" t="s">
        <v>166</v>
      </c>
      <c r="E11" t="s">
        <v>167</v>
      </c>
      <c r="F11" t="s">
        <v>168</v>
      </c>
      <c r="G11" t="s">
        <v>169</v>
      </c>
      <c r="H11" t="s">
        <v>170</v>
      </c>
      <c r="I11" t="s">
        <v>171</v>
      </c>
      <c r="J11" t="s">
        <v>172</v>
      </c>
      <c r="R11" t="s">
        <v>180</v>
      </c>
      <c r="S11" t="s">
        <v>104</v>
      </c>
      <c r="T11" t="s">
        <v>184</v>
      </c>
      <c r="U11" t="str">
        <f t="shared" si="1"/>
        <v>Y[7]</v>
      </c>
      <c r="V11" t="str">
        <f t="array" ref="V11:AE11">TRANSPOSE(Mul8Analysis!M16:M25)</f>
        <v>p70</v>
      </c>
      <c r="W11" t="str">
        <v>p61</v>
      </c>
      <c r="X11" t="str">
        <v>p52</v>
      </c>
      <c r="Y11" t="str">
        <v>p43</v>
      </c>
      <c r="Z11" t="str">
        <v>p34</v>
      </c>
      <c r="AA11" t="str">
        <v>p25</v>
      </c>
      <c r="AB11" t="str">
        <v>p16</v>
      </c>
      <c r="AC11" t="str">
        <v>p07</v>
      </c>
      <c r="AD11" t="str">
        <v>c8</v>
      </c>
      <c r="AE11" t="str">
        <v>c10</v>
      </c>
      <c r="AF11" t="str">
        <f>CONCATENATE(R11," ",S11,"(",T11,",",U11,",",V11,",",W11,",",X11,",",Y11,",",Z11,",",AA11,",",AB11,",",AC11,",",AD11,",",AE11,")")</f>
        <v>addr10 Col7({c15,c14,c13},Y[7],p70,p61,p52,p43,p34,p25,p16,p07,c8,c10)</v>
      </c>
    </row>
    <row r="12" spans="1:32" x14ac:dyDescent="0.25">
      <c r="O12" t="s">
        <v>50</v>
      </c>
      <c r="R12" t="s">
        <v>180</v>
      </c>
      <c r="S12" t="s">
        <v>103</v>
      </c>
      <c r="T12" t="s">
        <v>185</v>
      </c>
      <c r="U12" t="str">
        <f t="shared" si="1"/>
        <v>Y[8]</v>
      </c>
      <c r="V12" t="str">
        <f t="array" ref="V12:AE12">TRANSPOSE(Mul8Analysis!L17:L26)</f>
        <v>p71</v>
      </c>
      <c r="W12" t="str">
        <v>p62</v>
      </c>
      <c r="X12" t="str">
        <v>p53</v>
      </c>
      <c r="Y12" t="str">
        <v>p44</v>
      </c>
      <c r="Z12" t="str">
        <v>p35</v>
      </c>
      <c r="AA12" t="str">
        <v>p26</v>
      </c>
      <c r="AB12" t="str">
        <v>p17</v>
      </c>
      <c r="AC12" t="str">
        <v>c9</v>
      </c>
      <c r="AD12" t="str">
        <v>c11</v>
      </c>
      <c r="AE12" t="str">
        <v>c13</v>
      </c>
      <c r="AF12" t="str">
        <f>CONCATENATE(R12," ",S12,"(",T12,",",U12,",",V12,",",W12,",",X12,",",Y12,",",Z12,",",AA12,",",AB12,",",AC12,",",AD12,",",AE12,")")</f>
        <v>addr10 Col8({c18,c17,c16},Y[8],p71,p62,p53,p44,p35,p26,p17,c9,c11,c13)</v>
      </c>
    </row>
    <row r="13" spans="1:32" x14ac:dyDescent="0.25">
      <c r="M13" t="s">
        <v>51</v>
      </c>
      <c r="N13" t="s">
        <v>49</v>
      </c>
      <c r="R13" t="s">
        <v>179</v>
      </c>
      <c r="S13" t="s">
        <v>102</v>
      </c>
      <c r="T13" t="s">
        <v>186</v>
      </c>
      <c r="U13" t="str">
        <f t="shared" si="1"/>
        <v>Y[9]</v>
      </c>
      <c r="V13" t="str">
        <f t="array" ref="V13:AD13">TRANSPOSE(Mul8Analysis!K18:K26)</f>
        <v>p72</v>
      </c>
      <c r="W13" t="str">
        <v>p63</v>
      </c>
      <c r="X13" t="str">
        <v>p54</v>
      </c>
      <c r="Y13" t="str">
        <v>p45</v>
      </c>
      <c r="Z13" t="str">
        <v>p36</v>
      </c>
      <c r="AA13" t="str">
        <v>p27</v>
      </c>
      <c r="AB13" t="str">
        <v>c12</v>
      </c>
      <c r="AC13" t="str">
        <v>c14</v>
      </c>
      <c r="AD13" t="str">
        <v>c16</v>
      </c>
      <c r="AF13" t="str">
        <f t="shared" ref="AF13" si="2">CONCATENATE(R13," ",S13,"(",T13,",",U13,",",V13,",",W13,",",X13,",",Y13,",",Z13,",",AA13,",",AB13,",",AC13,",",AD13,")")</f>
        <v>addr9 Col9({c21,c20,c19},Y[9],p72,p63,p54,p45,p36,p27,c12,c14,c16)</v>
      </c>
    </row>
    <row r="14" spans="1:32" x14ac:dyDescent="0.25">
      <c r="L14" t="s">
        <v>63</v>
      </c>
      <c r="M14" t="s">
        <v>62</v>
      </c>
      <c r="R14" t="s">
        <v>178</v>
      </c>
      <c r="S14" t="s">
        <v>101</v>
      </c>
      <c r="T14" t="s">
        <v>187</v>
      </c>
      <c r="U14" t="str">
        <f t="shared" ref="U14:U20" si="3">CONCATENATE("Y[",RIGHT(S14,2),"]")</f>
        <v>Y[10]</v>
      </c>
      <c r="V14" t="str">
        <f t="array" ref="V14:AC14">TRANSPOSE(Mul8Analysis!J19:J26)</f>
        <v>p73</v>
      </c>
      <c r="W14" t="str">
        <v>p64</v>
      </c>
      <c r="X14" t="str">
        <v>p55</v>
      </c>
      <c r="Y14" t="str">
        <v>p46</v>
      </c>
      <c r="Z14" t="str">
        <v>p37</v>
      </c>
      <c r="AA14" t="str">
        <v>c15</v>
      </c>
      <c r="AB14" t="str">
        <v>c17</v>
      </c>
      <c r="AC14" t="str">
        <v>c19</v>
      </c>
      <c r="AF14" t="str">
        <f>CONCATENATE(R14," ",S14,"(",T14,",",U14,",",V14,",",W14,",",X14,",",Y14,,",",Z14,",",AA14,",",AB14,",",AC14,")")</f>
        <v>addr8 Col10({c24,c23,c22},Y[10],p73,p64,p55,p46,p37,c15,c17,c19)</v>
      </c>
    </row>
    <row r="15" spans="1:32" x14ac:dyDescent="0.25">
      <c r="K15" t="s">
        <v>65</v>
      </c>
      <c r="L15" t="s">
        <v>64</v>
      </c>
      <c r="R15" t="s">
        <v>177</v>
      </c>
      <c r="S15" t="s">
        <v>100</v>
      </c>
      <c r="T15" t="s">
        <v>188</v>
      </c>
      <c r="U15" t="str">
        <f t="shared" si="3"/>
        <v>Y[11]</v>
      </c>
      <c r="V15" t="str">
        <f t="array" ref="V15:AB15">TRANSPOSE(Mul8Analysis!I20:I26)</f>
        <v>p74</v>
      </c>
      <c r="W15" t="str">
        <v>p65</v>
      </c>
      <c r="X15" t="str">
        <v>p56</v>
      </c>
      <c r="Y15" t="str">
        <v>p47</v>
      </c>
      <c r="Z15" t="str">
        <v>c18</v>
      </c>
      <c r="AA15" t="str">
        <v>c20</v>
      </c>
      <c r="AB15" t="str">
        <v>c22</v>
      </c>
      <c r="AF15" t="str">
        <f>CONCATENATE(R15," ",S15,"(",T15,",",U15,",",V15,",",W15,",",X15,",",Y15,",",Z15,",",AA15,",",AB15,")")</f>
        <v>addr7 Col11({c26,c25},Y[11],p74,p65,p56,p47,c18,c20,c22)</v>
      </c>
    </row>
    <row r="16" spans="1:32" x14ac:dyDescent="0.25">
      <c r="I16" t="s">
        <v>68</v>
      </c>
      <c r="J16" t="s">
        <v>67</v>
      </c>
      <c r="K16" t="s">
        <v>66</v>
      </c>
      <c r="R16" t="s">
        <v>176</v>
      </c>
      <c r="S16" t="s">
        <v>99</v>
      </c>
      <c r="T16" t="s">
        <v>189</v>
      </c>
      <c r="U16" t="str">
        <f t="shared" si="3"/>
        <v>Y[12]</v>
      </c>
      <c r="V16" t="str">
        <f t="array" ref="V16:AA16">TRANSPOSE(Mul8Analysis!H21:H26)</f>
        <v>p75</v>
      </c>
      <c r="W16" t="str">
        <v>p66</v>
      </c>
      <c r="X16" t="str">
        <v>p57</v>
      </c>
      <c r="Y16" t="str">
        <v>c21</v>
      </c>
      <c r="Z16" t="str">
        <v>c23</v>
      </c>
      <c r="AA16" t="str">
        <v>c25</v>
      </c>
      <c r="AF16" t="str">
        <f>CONCATENATE(R16," ",S16,"(",T16,",",U16,",",V16,",",W16,",",X16,",",Y16,",",Z16,",",AA16,")")</f>
        <v>addr6 Col12({c28,c27},Y[12],p75,p66,p57,c21,c23,c25)</v>
      </c>
    </row>
    <row r="17" spans="1:32" x14ac:dyDescent="0.25">
      <c r="H17" t="s">
        <v>71</v>
      </c>
      <c r="I17" t="s">
        <v>70</v>
      </c>
      <c r="J17" t="s">
        <v>69</v>
      </c>
      <c r="R17" t="s">
        <v>175</v>
      </c>
      <c r="S17" t="s">
        <v>98</v>
      </c>
      <c r="T17" t="s">
        <v>190</v>
      </c>
      <c r="U17" t="str">
        <f t="shared" si="3"/>
        <v>Y[13]</v>
      </c>
      <c r="V17" t="str">
        <f t="array" ref="V17:Z17">TRANSPOSE(Mul8Analysis!G22:G26)</f>
        <v>p76</v>
      </c>
      <c r="W17" t="str">
        <v>p67</v>
      </c>
      <c r="X17" t="str">
        <v>c24</v>
      </c>
      <c r="Y17" t="str">
        <v>c26</v>
      </c>
      <c r="Z17" t="str">
        <v>c27</v>
      </c>
      <c r="AF17" t="str">
        <f>CONCATENATE(R17," ",S17,"(",T17,",",U17,",",V17,",",W17,",",X17,",",Y17,",",Z17,")")</f>
        <v>addr5 Col13({c30,c29},Y[13],p76,p67,c24,c26,c27)</v>
      </c>
    </row>
    <row r="18" spans="1:32" x14ac:dyDescent="0.25">
      <c r="G18" t="s">
        <v>74</v>
      </c>
      <c r="H18" t="s">
        <v>73</v>
      </c>
      <c r="I18" t="s">
        <v>72</v>
      </c>
      <c r="R18" t="s">
        <v>174</v>
      </c>
      <c r="S18" t="s">
        <v>97</v>
      </c>
      <c r="T18" t="s">
        <v>90</v>
      </c>
      <c r="U18" t="str">
        <f t="shared" si="3"/>
        <v>Y[14]</v>
      </c>
      <c r="V18" t="str">
        <f t="array" ref="V18:X18">TRANSPOSE(Mul8Analysis!F23:F25)</f>
        <v>p77</v>
      </c>
      <c r="W18" t="str">
        <v>c28</v>
      </c>
      <c r="X18" t="str">
        <v>c29</v>
      </c>
      <c r="AF18" t="str">
        <f t="shared" ref="AF18" si="4">CONCATENATE(R18," ",S18,"(",T18,",",U18,",",V18,",",W18,",",X18,",",Y18,")")</f>
        <v>addr3 Col14(c31,Y[14],p77,c28,c29,)</v>
      </c>
    </row>
    <row r="19" spans="1:32" x14ac:dyDescent="0.25">
      <c r="F19" t="s">
        <v>77</v>
      </c>
      <c r="G19" t="s">
        <v>76</v>
      </c>
      <c r="H19" t="s">
        <v>75</v>
      </c>
      <c r="R19" t="s">
        <v>173</v>
      </c>
      <c r="S19" t="s">
        <v>96</v>
      </c>
      <c r="T19" t="s">
        <v>91</v>
      </c>
      <c r="U19" t="str">
        <f t="shared" si="3"/>
        <v>Y[15]</v>
      </c>
      <c r="V19" t="str">
        <f t="array" ref="V19:W19">TRANSPOSE(Mul8Analysis!E24:E25)</f>
        <v>c30</v>
      </c>
      <c r="W19" t="str">
        <v>c31</v>
      </c>
      <c r="AF19" t="str">
        <f>CONCATENATE(R19," ",S19,"(",T19,",",U19,",",V19,",",W19,")")</f>
        <v>addr2 Col15(c32,Y[15],c30,c31)</v>
      </c>
    </row>
    <row r="20" spans="1:32" x14ac:dyDescent="0.25">
      <c r="E20" t="s">
        <v>80</v>
      </c>
      <c r="F20" t="s">
        <v>79</v>
      </c>
      <c r="G20" t="s">
        <v>78</v>
      </c>
      <c r="R20" t="s">
        <v>191</v>
      </c>
      <c r="S20" t="s">
        <v>95</v>
      </c>
      <c r="U20" t="str">
        <f t="shared" si="3"/>
        <v>Y[16]</v>
      </c>
      <c r="V20" t="s">
        <v>91</v>
      </c>
      <c r="AF20" t="str">
        <f>CONCATENATE(R20," ",S20,"(",T20,,U20,",",V20,")")</f>
        <v>buf Col16(Y[16],c32)</v>
      </c>
    </row>
    <row r="21" spans="1:32" x14ac:dyDescent="0.25">
      <c r="D21" t="s">
        <v>83</v>
      </c>
      <c r="E21" t="s">
        <v>82</v>
      </c>
      <c r="F21" t="s">
        <v>81</v>
      </c>
    </row>
    <row r="22" spans="1:32" x14ac:dyDescent="0.25">
      <c r="D22" t="s">
        <v>85</v>
      </c>
      <c r="E22" t="s">
        <v>84</v>
      </c>
    </row>
    <row r="23" spans="1:32" x14ac:dyDescent="0.25">
      <c r="C23" t="s">
        <v>87</v>
      </c>
      <c r="D23" t="s">
        <v>86</v>
      </c>
    </row>
    <row r="24" spans="1:32" x14ac:dyDescent="0.25">
      <c r="B24" t="s">
        <v>89</v>
      </c>
      <c r="C24" t="s">
        <v>88</v>
      </c>
    </row>
    <row r="25" spans="1:32" x14ac:dyDescent="0.25">
      <c r="A25" t="s">
        <v>91</v>
      </c>
      <c r="B25" t="s">
        <v>90</v>
      </c>
    </row>
  </sheetData>
  <sortState xmlns:xlrd2="http://schemas.microsoft.com/office/spreadsheetml/2017/richdata2" ref="A2:B18">
    <sortCondition descending="1" ref="A2:A18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Mul8Analysis</vt:lpstr>
      <vt:lpstr>instantiation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Vinod</dc:creator>
  <cp:lastModifiedBy>Vinod C M</cp:lastModifiedBy>
  <dcterms:created xsi:type="dcterms:W3CDTF">2015-06-05T18:17:20Z</dcterms:created>
  <dcterms:modified xsi:type="dcterms:W3CDTF">2023-09-16T18:04:52Z</dcterms:modified>
</cp:coreProperties>
</file>